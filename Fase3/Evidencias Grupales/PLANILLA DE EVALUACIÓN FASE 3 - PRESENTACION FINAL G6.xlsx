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2D\"/>
    </mc:Choice>
  </mc:AlternateContent>
  <xr:revisionPtr revIDLastSave="0" documentId="13_ncr:1_{87A063A4-1147-4B80-A0B1-F888FB54C2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49" i="1"/>
  <c r="B57" i="1"/>
  <c r="B56" i="1"/>
  <c r="B55" i="1"/>
  <c r="B54" i="1"/>
  <c r="B53" i="1"/>
  <c r="B52" i="1"/>
  <c r="B51" i="1"/>
  <c r="B37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D54" i="1"/>
  <c r="E54" i="1" s="1"/>
  <c r="J53" i="1"/>
  <c r="K53" i="1" s="1"/>
  <c r="H53" i="1"/>
  <c r="I53" i="1" s="1"/>
  <c r="G53" i="1"/>
  <c r="E53" i="1"/>
  <c r="J52" i="1"/>
  <c r="K52" i="1" s="1"/>
  <c r="H52" i="1"/>
  <c r="I52" i="1" s="1"/>
  <c r="G52" i="1"/>
  <c r="F52" i="1"/>
  <c r="D52" i="1"/>
  <c r="E52" i="1" s="1"/>
  <c r="J51" i="1"/>
  <c r="K51" i="1" s="1"/>
  <c r="H51" i="1"/>
  <c r="I51" i="1" s="1"/>
  <c r="F51" i="1"/>
  <c r="G51" i="1" s="1"/>
  <c r="D51" i="1"/>
  <c r="E51" i="1" s="1"/>
  <c r="K58" i="1" l="1"/>
  <c r="E58" i="1"/>
  <c r="I58" i="1"/>
  <c r="G58" i="1"/>
  <c r="C58" i="1" l="1"/>
  <c r="C59" i="1" s="1"/>
  <c r="B79" i="1" l="1"/>
  <c r="B80" i="1"/>
  <c r="B81" i="1"/>
  <c r="B82" i="1"/>
  <c r="B83" i="1"/>
  <c r="B84" i="1"/>
  <c r="B78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E80" i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G67" i="1"/>
  <c r="E67" i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6" i="1" s="1"/>
  <c r="C85" i="1"/>
  <c r="C86" i="1" s="1"/>
  <c r="C72" i="1"/>
  <c r="C73" i="1" s="1"/>
  <c r="D4" i="1" s="1"/>
  <c r="D5" i="1" l="1"/>
  <c r="D6" i="1"/>
  <c r="E6" i="1" s="1"/>
  <c r="B14" i="1"/>
  <c r="B15" i="1"/>
  <c r="B16" i="1"/>
  <c r="B17" i="1"/>
  <c r="B18" i="1"/>
  <c r="B19" i="1"/>
  <c r="D13" i="1" l="1"/>
  <c r="E13" i="1" s="1"/>
  <c r="D14" i="1"/>
  <c r="E14" i="1" s="1"/>
  <c r="E15" i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<sst xmlns="http://schemas.openxmlformats.org/spreadsheetml/2006/main" count="170" uniqueCount="67">
  <si>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</si>
  <si>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</si>
  <si>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</si>
  <si>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</si>
  <si>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</si>
  <si>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</si>
  <si>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</si>
  <si>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</si>
  <si>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</si>
  <si>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</si>
  <si>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</si>
  <si>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</si>
  <si>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</si>
  <si>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</si>
  <si>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</si>
  <si>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</si>
  <si>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</si>
  <si>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</si>
  <si>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</si>
  <si>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</si>
  <si>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</si>
  <si>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</si>
  <si>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</si>
  <si>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</si>
  <si>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</si>
  <si>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</si>
  <si>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</si>
  <si>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</si>
  <si>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</si>
  <si>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</si>
  <si>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</si>
  <si>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</si>
  <si>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</si>
  <si>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</si>
  <si>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</si>
  <si>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</si>
  <si>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</si>
  <si>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</si>
  <si>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</si>
  <si>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</si>
  <si>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</si>
  <si>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</si>
  <si>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</si>
  <si>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</si>
  <si>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</si>
  <si>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</si>
  <si>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</si>
  <si>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</si>
  <si>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</si>
  <si>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</si>
  <si>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</si>
  <si>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</si>
  <si>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</si>
  <si>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</si>
  <si>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</si>
  <si>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</si>
  <si>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</si>
  <si>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</si>
  <si>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</si>
  <si>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</si>
  <si>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</si>
  <si>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</si>
  <si>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</si>
  <si>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</si>
  <si>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RAFAEL FRANCISCO DIAZ FLORES</t>
  </si>
  <si>
    <t>MAURICIO IGNACIO GUZMAN AGUIRRE</t>
  </si>
  <si>
    <t>MATIAS SEBASTIAN RODRIGUEZ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</si>
</sst>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86"/>
  <sheetViews>
    <sheetView tabSelected="1" zoomScale="85" zoomScaleNormal="85" workbookViewId="0">
      <selection sqref="A1:K91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64</v>
      </c>
      <c r="C4" s="31">
        <f>C21</f>
        <v>6.4</v>
      </c>
      <c r="D4" s="37">
        <f>C73</f>
        <v>6.4</v>
      </c>
      <c r="E4" s="36">
        <f>C4*C$2+D4*D$2</f>
        <v>6.3999999999999995</v>
      </c>
    </row>
    <row r="5" spans="1:11" ht="14.4" x14ac:dyDescent="0.3">
      <c r="A5" s="3">
        <v>2</v>
      </c>
      <c r="B5" s="16" t="s">
        <v>65</v>
      </c>
      <c r="C5" s="31">
        <f>C34</f>
        <v>6.4</v>
      </c>
      <c r="D5" s="37">
        <f>C86</f>
        <v>6.4</v>
      </c>
      <c r="E5" s="36">
        <f t="shared" ref="E5:E6" si="0">C5*C$2+D5*D$2</f>
        <v>6.3999999999999995</v>
      </c>
    </row>
    <row r="6" spans="1:11" ht="14.4" x14ac:dyDescent="0.3">
      <c r="A6" s="3">
        <v>3</v>
      </c>
      <c r="B6" s="16" t="s">
        <v>66</v>
      </c>
      <c r="C6" s="31">
        <f>C47</f>
        <v>6.4</v>
      </c>
      <c r="D6" s="37">
        <f>C86</f>
        <v>6.4</v>
      </c>
      <c r="E6" s="36">
        <f t="shared" si="0"/>
        <v>6.3999999999999995</v>
      </c>
    </row>
    <row r="7" spans="1:11" ht="14.4" x14ac:dyDescent="0.3">
      <c r="A7" s="3"/>
      <c r="B7" s="16"/>
      <c r="C7" s="31"/>
      <c r="D7" s="37"/>
      <c r="E7" s="36"/>
    </row>
    <row r="11" spans="1:11" ht="18" outlineLevel="1" x14ac:dyDescent="0.3">
      <c r="A11" s="51" t="s">
        <v>4</v>
      </c>
      <c r="B11" s="11" t="str">
        <f>B4</f>
        <v>RAFAEL FRANCISCO DIAZ FLORES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92</v>
      </c>
      <c r="D20" s="13"/>
      <c r="E20" s="13">
        <f>SUM(E13:E19)</f>
        <v>80</v>
      </c>
      <c r="F20" s="13"/>
      <c r="G20" s="13">
        <f>SUM(G13:G19)</f>
        <v>12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6.4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51" t="s">
        <v>4</v>
      </c>
      <c r="B24" s="11" t="str">
        <f>B5</f>
        <v>MAURICIO IGNACIO GUZMAN AGUIRRE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92</v>
      </c>
      <c r="D33" s="13"/>
      <c r="E33" s="13">
        <f>SUM(E26:E32)</f>
        <v>80</v>
      </c>
      <c r="F33" s="13"/>
      <c r="G33" s="13">
        <f>SUM(G26:G32)</f>
        <v>12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6.4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51" t="s">
        <v>4</v>
      </c>
      <c r="B37" s="11" t="str">
        <f>B6</f>
        <v>MATIAS SEBASTIAN RODRIGUEZ FLORES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92</v>
      </c>
      <c r="D46" s="13"/>
      <c r="E46" s="13">
        <f>SUM(E39:E45)</f>
        <v>80</v>
      </c>
      <c r="F46" s="13"/>
      <c r="G46" s="13">
        <f>SUM(G39:G45)</f>
        <v>12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6.4</v>
      </c>
    </row>
    <row r="48" spans="1:11" ht="15.75" customHeight="1" x14ac:dyDescent="0.3"/>
    <row r="49" spans="1:11" ht="15.75" customHeight="1" x14ac:dyDescent="0.3">
      <c r="A49" s="48" t="s">
        <v>14</v>
      </c>
      <c r="B49" s="11" t="str">
        <f>B4</f>
        <v>RAFAEL FRANCISCO DIAZ FLORES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15.75" customHeight="1" x14ac:dyDescent="0.3">
      <c r="A50" s="49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9.4" customHeight="1" x14ac:dyDescent="0.3">
      <c r="A51" s="49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5" si="17">IF($C51=CL,"X","")</f>
        <v>X</v>
      </c>
      <c r="E51" s="12">
        <f>IF(D51="X",100*0.15,"")</f>
        <v>15</v>
      </c>
      <c r="F51" s="12" t="str">
        <f t="shared" ref="F51:F55" si="18">IF($C51=L,"X","")</f>
        <v/>
      </c>
      <c r="G51" s="12" t="str">
        <f>IF(F51="X",60*0.15,"")</f>
        <v/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36.6" customHeight="1" x14ac:dyDescent="0.3">
      <c r="A52" s="49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7.6" customHeight="1" x14ac:dyDescent="0.3">
      <c r="A53" s="49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/>
      <c r="E53" s="12" t="str">
        <f>IF(D53="X",100*0.2,"")</f>
        <v/>
      </c>
      <c r="F53" s="12" t="s">
        <v>63</v>
      </c>
      <c r="G53" s="12">
        <f>IF(F53="X",60*0.2,"")</f>
        <v>12</v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35.4" customHeight="1" x14ac:dyDescent="0.3">
      <c r="A54" s="49"/>
      <c r="B54" s="19" t="str">
        <f>RUBRICA!A7</f>
        <v>4. Expone el Proyecto APT, considerando el formato y el tiempo establecido para la presentación.</v>
      </c>
      <c r="C54" s="17" t="s">
        <v>8</v>
      </c>
      <c r="D54" s="12" t="str">
        <f t="shared" si="17"/>
        <v>X</v>
      </c>
      <c r="E54" s="12">
        <f>IF(D54="X",100*0.05,"")</f>
        <v>5</v>
      </c>
      <c r="F54" s="12" t="str">
        <f t="shared" si="18"/>
        <v/>
      </c>
      <c r="G54" s="12" t="str">
        <f>IF(F54="X",60*0.05,"")</f>
        <v/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30.6" customHeight="1" x14ac:dyDescent="0.3">
      <c r="A55" s="49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9.4" customHeight="1" x14ac:dyDescent="0.3">
      <c r="A56" s="49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30" customHeight="1" x14ac:dyDescent="0.3">
      <c r="A57" s="49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15.75" customHeight="1" x14ac:dyDescent="0.35">
      <c r="A58" s="49"/>
      <c r="B58" s="18" t="s">
        <v>12</v>
      </c>
      <c r="C58" s="22">
        <f>E58+G58+I58+K58</f>
        <v>92</v>
      </c>
      <c r="D58" s="13"/>
      <c r="E58" s="13">
        <f>SUM(E51:E57)</f>
        <v>80</v>
      </c>
      <c r="F58" s="13"/>
      <c r="G58" s="13">
        <f>SUM(G51:G57)</f>
        <v>12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50"/>
      <c r="B59" s="21" t="s">
        <v>13</v>
      </c>
      <c r="C59" s="14">
        <f>VLOOKUP(C58,ESCALA_IEP!A40:B240,2,FALSE)</f>
        <v>6.4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MAURICIO IGNACIO GUZMAN AGUIRRE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9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9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71" si="22">IF($C65=CL,"X","")</f>
        <v>X</v>
      </c>
      <c r="E65" s="12">
        <f>IF(D65="X",100*0.15,"")</f>
        <v>15</v>
      </c>
      <c r="F65" s="12" t="str">
        <f t="shared" ref="F65:F71" si="23">IF($C65=L,"X","")</f>
        <v/>
      </c>
      <c r="G65" s="12" t="str">
        <f>IF(F65="X",60*0.15,"")</f>
        <v/>
      </c>
      <c r="H65" s="12" t="str">
        <f t="shared" ref="H65:H71" si="24">IF($C65=ML,"X","")</f>
        <v/>
      </c>
      <c r="I65" s="12" t="str">
        <f>IF(H65="X",30*0.15,"")</f>
        <v/>
      </c>
      <c r="J65" s="12" t="str">
        <f t="shared" ref="J65:J71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9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9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9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9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9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 t="shared" si="22"/>
        <v>X</v>
      </c>
      <c r="E70" s="12">
        <f>IF(D70="X",100*0.2,"")</f>
        <v>20</v>
      </c>
      <c r="F70" s="12" t="str">
        <f t="shared" si="23"/>
        <v/>
      </c>
      <c r="G70" s="12" t="str">
        <f>IF(F70="X",60*0.2,"")</f>
        <v/>
      </c>
      <c r="H70" s="12" t="str">
        <f t="shared" si="24"/>
        <v/>
      </c>
      <c r="I70" s="12" t="str">
        <f>IF(H70="X",30*0.2,"")</f>
        <v/>
      </c>
      <c r="J70" s="12" t="str">
        <f t="shared" si="25"/>
        <v/>
      </c>
      <c r="K70" s="12" t="str">
        <f t="shared" si="26"/>
        <v/>
      </c>
    </row>
    <row r="71" spans="1:11" ht="24" customHeight="1" x14ac:dyDescent="0.3">
      <c r="A71" s="49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 t="shared" si="22"/>
        <v>X</v>
      </c>
      <c r="E71" s="12">
        <f>IF(D71="X",100*0.1,"")</f>
        <v>10</v>
      </c>
      <c r="F71" s="12" t="str">
        <f t="shared" si="23"/>
        <v/>
      </c>
      <c r="G71" s="12" t="str">
        <f>IF(F71="X",60*0.1,"")</f>
        <v/>
      </c>
      <c r="H71" s="12" t="str">
        <f t="shared" si="24"/>
        <v/>
      </c>
      <c r="I71" s="12" t="str">
        <f>IF(H71="X",30*0.1,"")</f>
        <v/>
      </c>
      <c r="J71" s="12" t="str">
        <f t="shared" si="25"/>
        <v/>
      </c>
      <c r="K71" s="12" t="str">
        <f t="shared" si="26"/>
        <v/>
      </c>
    </row>
    <row r="72" spans="1:11" ht="24" customHeight="1" x14ac:dyDescent="0.35">
      <c r="A72" s="49"/>
      <c r="B72" s="18" t="s">
        <v>12</v>
      </c>
      <c r="C72" s="22">
        <f>E72+G72+I72+K72</f>
        <v>92</v>
      </c>
      <c r="D72" s="13"/>
      <c r="E72" s="13">
        <f>SUM(E65:E71)</f>
        <v>80</v>
      </c>
      <c r="F72" s="13"/>
      <c r="G72" s="13">
        <f>SUM(G65:G71)</f>
        <v>12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50"/>
      <c r="B73" s="21" t="s">
        <v>13</v>
      </c>
      <c r="C73" s="14">
        <f>VLOOKUP(C72,ESCALA_IEP!A41:B241,2,FALSE)</f>
        <v>6.4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MATIAS SEBASTIAN RODRIGUEZ FLORES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92</v>
      </c>
      <c r="D85" s="13"/>
      <c r="E85" s="13">
        <f>SUM(E78:E84)</f>
        <v>80</v>
      </c>
      <c r="F85" s="13"/>
      <c r="G85" s="13">
        <f>SUM(G78:G84)</f>
        <v>12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VLOOKUP(C85,ESCALA_IEP!A54:B254,2,FALSE)</f>
        <v>6.4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</sheetData>
  <sheetProtection algorithmName="SHA-512" hashValue="hqSyGFxGQoyQhMT/RfH30ckdFG5gYwXAibqQCShCOxVKVMeNFd988MXmZA5SF85D14b9rabsRCGMtDBlQDiWzg==" saltValue="atH9NJyR6Zoo1qhXHj+ekQ==" spinCount="100000" sheet="1" objects="1" scenarios="1"/>
  <mergeCells count="42">
    <mergeCell ref="A49:A59"/>
    <mergeCell ref="C49:C50"/>
    <mergeCell ref="D49:K49"/>
    <mergeCell ref="D50:E50"/>
    <mergeCell ref="F50:G50"/>
    <mergeCell ref="H50:I50"/>
    <mergeCell ref="J50:K50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2025-12-11T03:23:53Z</dcterms:modified>
  <cp:category/>
  <cp:contentStatus/>
</cp:coreProperties>
</file>